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ud Exit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Cloud Exit ROI Calculator (Local Hardware vs SaaS)</t>
        </is>
      </c>
    </row>
    <row r="3">
      <c r="A3" s="2" t="inlineStr">
        <is>
          <t>Inputs</t>
        </is>
      </c>
    </row>
    <row r="4">
      <c r="A4" t="inlineStr">
        <is>
          <t>Number of SaaS Services (e.g. ChatGPT, Midjourney)</t>
        </is>
      </c>
      <c r="B4" t="n">
        <v>3</v>
      </c>
    </row>
    <row r="5">
      <c r="A5" t="inlineStr">
        <is>
          <t>Cost per SaaS Service ($/mo)</t>
        </is>
      </c>
      <c r="B5" t="n">
        <v>20</v>
      </c>
    </row>
    <row r="6">
      <c r="A6" t="inlineStr">
        <is>
          <t>Electricity Cost ($/kWh)</t>
        </is>
      </c>
      <c r="B6" t="n">
        <v>0.15</v>
      </c>
    </row>
    <row r="7">
      <c r="A7" t="inlineStr">
        <is>
          <t>Average Hours/Day Usage</t>
        </is>
      </c>
      <c r="B7" t="n">
        <v>4</v>
      </c>
    </row>
    <row r="8">
      <c r="A8" t="inlineStr">
        <is>
          <t>Analysis Period (Months)</t>
        </is>
      </c>
      <c r="B8" t="n">
        <v>36</v>
      </c>
    </row>
    <row r="10">
      <c r="A10" s="3" t="inlineStr">
        <is>
          <t>Hardware Option</t>
        </is>
      </c>
      <c r="B10" s="3" t="inlineStr">
        <is>
          <t>Purchase Price ($)</t>
        </is>
      </c>
      <c r="C10" s="3" t="inlineStr">
        <is>
          <t>Power Draw (kW)</t>
        </is>
      </c>
      <c r="D10" s="3" t="inlineStr">
        <is>
          <t>3-Year Total Cost ($)</t>
        </is>
      </c>
      <c r="E10" s="3" t="inlineStr">
        <is>
          <t>SaaS 3-Year Cost ($)</t>
        </is>
      </c>
      <c r="F10" s="3" t="inlineStr">
        <is>
          <t>Savings ($)</t>
        </is>
      </c>
    </row>
    <row r="11">
      <c r="A11" t="inlineStr">
        <is>
          <t>Entry (RTX 3060 12GB)</t>
        </is>
      </c>
      <c r="B11" t="n">
        <v>300</v>
      </c>
      <c r="C11" t="n">
        <v>0.2</v>
      </c>
      <c r="D11">
        <f>$B11 + ($C11 * $B$7 * 365 * ($B$8/12) * $B$6)</f>
        <v/>
      </c>
      <c r="E11">
        <f>$B$4*$B$5*$B$8</f>
        <v/>
      </c>
      <c r="F11">
        <f>$E11-$D11</f>
        <v/>
      </c>
    </row>
    <row r="12">
      <c r="A12" t="inlineStr">
        <is>
          <t>Mid (RTX 4070 Ti Super 16GB)</t>
        </is>
      </c>
      <c r="B12" t="n">
        <v>800</v>
      </c>
      <c r="C12" t="n">
        <v>0.3</v>
      </c>
      <c r="D12">
        <f>$B12 + ($C12 * $B$7 * 365 * ($B$8/12) * $B$6)</f>
        <v/>
      </c>
      <c r="E12">
        <f>$B$4*$B$5*$B$8</f>
        <v/>
      </c>
      <c r="F12">
        <f>$E12-$D12</f>
        <v/>
      </c>
    </row>
    <row r="13">
      <c r="A13" t="inlineStr">
        <is>
          <t>Prosumer (RTX 4090 24GB)</t>
        </is>
      </c>
      <c r="B13" t="n">
        <v>1800</v>
      </c>
      <c r="C13" t="n">
        <v>0.5</v>
      </c>
      <c r="D13">
        <f>$B13 + ($C13 * $B$7 * 365 * ($B$8/12) * $B$6)</f>
        <v/>
      </c>
      <c r="E13">
        <f>$B$4*$B$5*$B$8</f>
        <v/>
      </c>
      <c r="F13">
        <f>$E13-$D13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2026-06-10T19:18:26Z</dcterms:created>
  <dcterms:modified xsi:type="dcterms:W3CDTF">2026-06-10T19:18:26Z</dcterms:modified>
</cp:coreProperties>
</file>